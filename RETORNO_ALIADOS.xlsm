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3066673\Desktop\"/>
    </mc:Choice>
  </mc:AlternateContent>
  <bookViews>
    <workbookView xWindow="0" yWindow="0" windowWidth="20490" windowHeight="7755" tabRatio="0"/>
  </bookViews>
  <sheets>
    <sheet name="BASE_ESTORNOS" sheetId="1" r:id="rId1"/>
    <sheet name="ROMANEIO_OPERACIONAL" sheetId="2" r:id="rId2"/>
    <sheet name="CI_ESTORNO" sheetId="5" r:id="rId3"/>
  </sheets>
  <definedNames>
    <definedName name="_xlnm.Print_Area" localSheetId="1">ROMANEIO_OPERACIONAL!$A$1:$F$17</definedName>
    <definedName name="ID">BASE_ESTORNOS!$N$1</definedName>
    <definedName name="OLE_LINK1" localSheetId="2">CI_ESTORNO!#REF!</definedName>
    <definedName name="Texto1" localSheetId="2">CI_ESTORNO!#REF!</definedName>
    <definedName name="Texto2" localSheetId="2">CI_ESTORNO!#REF!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1" l="1"/>
  <c r="K2" i="5" l="1"/>
  <c r="D2" i="2" l="1"/>
</calcChain>
</file>

<file path=xl/sharedStrings.xml><?xml version="1.0" encoding="utf-8"?>
<sst xmlns="http://schemas.openxmlformats.org/spreadsheetml/2006/main" count="93" uniqueCount="71">
  <si>
    <t>DATA</t>
  </si>
  <si>
    <t>ROTA</t>
  </si>
  <si>
    <t>ALIADO</t>
  </si>
  <si>
    <t>OCORRENCIA</t>
  </si>
  <si>
    <t>NOTAS</t>
  </si>
  <si>
    <t>VALOR R$</t>
  </si>
  <si>
    <t>MOTIVO</t>
  </si>
  <si>
    <t>CHAMADO</t>
  </si>
  <si>
    <t/>
  </si>
  <si>
    <t>ID</t>
  </si>
  <si>
    <t>ASNDV</t>
  </si>
  <si>
    <t>STATUS</t>
  </si>
  <si>
    <t>CLIENTE</t>
  </si>
  <si>
    <t>ASN</t>
  </si>
  <si>
    <t xml:space="preserve">Nº Nota Fiscal </t>
  </si>
  <si>
    <t>Rota</t>
  </si>
  <si>
    <t>Placa do veículo</t>
  </si>
  <si>
    <t>OCORRÊNCIA</t>
  </si>
  <si>
    <t>Conferência Física CD Aliados - 6757</t>
  </si>
  <si>
    <t>CD-6757</t>
  </si>
  <si>
    <t>Assinatura do Motorista :</t>
  </si>
  <si>
    <t>Recebido por :</t>
  </si>
  <si>
    <t>Conf. Operacional:________________________________________________________</t>
  </si>
  <si>
    <t>Prevenção Perdas:________________________________________________________</t>
  </si>
  <si>
    <t>Encarregado O.P:________________________________________________________</t>
  </si>
  <si>
    <t>______________________________________________________</t>
  </si>
  <si>
    <t xml:space="preserve">         </t>
  </si>
  <si>
    <t>SOLICITAÇÃO DE ESTORNO DE NOTA FISCAL</t>
  </si>
  <si>
    <t>ADM-F-015-04-03</t>
  </si>
  <si>
    <t>EMITENTE</t>
  </si>
  <si>
    <t>Nome completo:</t>
  </si>
  <si>
    <t>Loja/CD (Cód. e nome):</t>
  </si>
  <si>
    <t xml:space="preserve">6757 - ADM                                         </t>
  </si>
  <si>
    <t>Área:</t>
  </si>
  <si>
    <t>OPS - Cadastro - Gestão de Cadastro</t>
  </si>
  <si>
    <t>Solicitamos que sejam estornadas as Notas Fiscais abaixo relacionadas</t>
  </si>
  <si>
    <t>Nº DA NOTA FISCAL</t>
  </si>
  <si>
    <t>DATA DO MOVIMENTO</t>
  </si>
  <si>
    <t>CÓD.OP.</t>
  </si>
  <si>
    <t>CÓDIGO DO FORNECEDOR</t>
  </si>
  <si>
    <t>MOTIVO DO ESTORNO</t>
  </si>
  <si>
    <t>     </t>
  </si>
  <si>
    <t>Quando for o caso</t>
  </si>
  <si>
    <t>Preencha sempre todos os campos deste formulário, pois são necessários ao atendimento de sua solicitação.</t>
  </si>
  <si>
    <t>Preencha-os de forma correta, evitando a devolução e conseqüente atraso nas providências.</t>
  </si>
  <si>
    <t>Este formulário comporta a solicitação de estorno para até 2 (duas) Notas Fiscais.</t>
  </si>
  <si>
    <t>Emita-o em uma única via, não se esquecendo de preencher a data e tomar a(s) assinatura(s) necessária(s).</t>
  </si>
  <si>
    <t>APROVAÇÃO (Assinatura e carimbo)</t>
  </si>
  <si>
    <t xml:space="preserve">              Chefe/Encarregado Adm. da Loja/CD </t>
  </si>
  <si>
    <t>Processos - ADM-F-015-04-03 - Solicitação de Estorno de Nota Fiscal</t>
  </si>
  <si>
    <t>PLACA</t>
  </si>
  <si>
    <t>Nome:</t>
  </si>
  <si>
    <t>Joyce Dayana</t>
  </si>
  <si>
    <t xml:space="preserve">    </t>
  </si>
  <si>
    <t xml:space="preserve">   Coordenador/Diretor/ Gerente Geral da Loja/CD:</t>
  </si>
  <si>
    <t>Pág.1/1</t>
  </si>
  <si>
    <t xml:space="preserve">  Data:________/_________/________</t>
  </si>
  <si>
    <t>DESTINATÁRIO</t>
  </si>
  <si>
    <t>VALOR NOTA FISCAL</t>
  </si>
  <si>
    <t>XXX-9999</t>
  </si>
  <si>
    <t>RENATO ANDRADE</t>
  </si>
  <si>
    <t>1234</t>
  </si>
  <si>
    <t>7098989</t>
  </si>
  <si>
    <t>ASNDV6757007098989</t>
  </si>
  <si>
    <t>DEVOLUÇÃO: RECUSA/DEVOLUCAO PELO CONTROLE DE QUALIDADE</t>
  </si>
  <si>
    <t>RECUSA/DEVOLUCAO PELO CONTROLE DE QUALIDADE DEVOLUÇÃO ALIADO 1234</t>
  </si>
  <si>
    <r>
      <t>Informe ao lado todos os dados da nota</t>
    </r>
    <r>
      <rPr>
        <b/>
        <sz val="20"/>
        <color theme="1"/>
        <rFont val="Arial"/>
        <family val="2"/>
      </rPr>
      <t xml:space="preserve"> SUBSTITUTA,</t>
    </r>
  </si>
  <si>
    <r>
      <t xml:space="preserve">                                                                               </t>
    </r>
    <r>
      <rPr>
        <sz val="20"/>
        <color theme="1"/>
        <rFont val="Arial"/>
        <family val="2"/>
      </rPr>
      <t>Data:________/_________/________</t>
    </r>
  </si>
  <si>
    <t>365989</t>
  </si>
  <si>
    <t>568989</t>
  </si>
  <si>
    <t>855,55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</si>
</sst>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R$-416]\ * #,##0.00_-;\-[$R$-416]\ * #,##0.00_-;_-[$R$-416]\ * &quot;-&quot;??_-;_-@_-"/>
    <numFmt numFmtId="165" formatCode="m/d/yyyy"/>
  </numFmts>
  <fonts count="2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0"/>
      <name val="Arial"/>
      <family val="2"/>
    </font>
    <font>
      <sz val="28"/>
      <color theme="1" tint="0.14999847407452621"/>
      <name val="Arial"/>
      <family val="2"/>
    </font>
    <font>
      <sz val="48"/>
      <color theme="1" tint="0.14999847407452621"/>
      <name val="Arial"/>
      <family val="2"/>
    </font>
    <font>
      <b/>
      <u val="singleAccounting"/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color theme="1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11"/>
      <name val="Mont serrat"/>
    </font>
    <font>
      <sz val="20"/>
      <color theme="1"/>
      <name val="Arial"/>
      <family val="2"/>
    </font>
    <font>
      <b/>
      <sz val="20"/>
      <color theme="1"/>
      <name val="Arial"/>
      <family val="2"/>
    </font>
    <font>
      <b/>
      <sz val="20"/>
      <color rgb="FF000000"/>
      <name val="Arial"/>
      <family val="2"/>
    </font>
    <font>
      <sz val="20"/>
      <color theme="1"/>
      <name val="Calibri"/>
      <family val="2"/>
      <scheme val="minor"/>
    </font>
    <font>
      <b/>
      <i/>
      <sz val="20"/>
      <color theme="1"/>
      <name val="Arial"/>
      <family val="2"/>
    </font>
    <font>
      <sz val="20"/>
      <color rgb="FF632423"/>
      <name val="Arial"/>
      <family val="2"/>
    </font>
    <font>
      <sz val="12"/>
      <color theme="0"/>
      <name val="Mont serrat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9D9D9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0">
    <xf numFmtId="0" fontId="0" fillId="0" borderId="0" xfId="0"/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2" fillId="0" borderId="0" xfId="0" applyFont="1"/>
    <xf numFmtId="2" fontId="2" fillId="0" borderId="0" xfId="0" applyNumberFormat="1" applyFont="1" applyAlignment="1">
      <alignment horizontal="right"/>
    </xf>
    <xf numFmtId="0" fontId="4" fillId="2" borderId="0" xfId="0" applyFont="1" applyFill="1"/>
    <xf numFmtId="0" fontId="1" fillId="2" borderId="0" xfId="0" applyFont="1" applyFill="1"/>
    <xf numFmtId="0" fontId="4" fillId="2" borderId="0" xfId="0" applyFont="1" applyFill="1" applyAlignment="1">
      <alignment horizontal="center"/>
    </xf>
    <xf numFmtId="0" fontId="0" fillId="2" borderId="0" xfId="0" applyFill="1"/>
    <xf numFmtId="0" fontId="0" fillId="0" borderId="1" xfId="0" applyBorder="1" applyAlignment="1"/>
    <xf numFmtId="0" fontId="0" fillId="0" borderId="2" xfId="0" applyBorder="1" applyAlignment="1"/>
    <xf numFmtId="0" fontId="0" fillId="0" borderId="2" xfId="0" applyBorder="1"/>
    <xf numFmtId="0" fontId="0" fillId="0" borderId="3" xfId="0" applyBorder="1" applyAlignment="1"/>
    <xf numFmtId="0" fontId="0" fillId="0" borderId="0" xfId="0" applyBorder="1" applyAlignment="1"/>
    <xf numFmtId="0" fontId="0" fillId="0" borderId="0" xfId="0" applyBorder="1"/>
    <xf numFmtId="0" fontId="0" fillId="0" borderId="3" xfId="0" applyBorder="1"/>
    <xf numFmtId="0" fontId="0" fillId="2" borderId="0" xfId="0" applyFill="1" applyBorder="1"/>
    <xf numFmtId="14" fontId="7" fillId="2" borderId="0" xfId="0" applyNumberFormat="1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vertical="center"/>
    </xf>
    <xf numFmtId="164" fontId="0" fillId="4" borderId="0" xfId="0" applyNumberFormat="1" applyFill="1" applyBorder="1" applyAlignment="1">
      <alignment vertical="center"/>
    </xf>
    <xf numFmtId="164" fontId="0" fillId="0" borderId="8" xfId="0" applyNumberFormat="1" applyBorder="1" applyAlignment="1">
      <alignment vertical="center"/>
    </xf>
    <xf numFmtId="164" fontId="0" fillId="0" borderId="9" xfId="0" applyNumberFormat="1" applyBorder="1" applyAlignment="1">
      <alignment vertical="center"/>
    </xf>
    <xf numFmtId="0" fontId="6" fillId="2" borderId="11" xfId="0" applyFont="1" applyFill="1" applyBorder="1" applyAlignment="1">
      <alignment horizontal="center" vertical="center"/>
    </xf>
    <xf numFmtId="0" fontId="0" fillId="0" borderId="11" xfId="0" applyBorder="1"/>
    <xf numFmtId="164" fontId="10" fillId="4" borderId="3" xfId="0" applyNumberFormat="1" applyFont="1" applyFill="1" applyBorder="1" applyAlignment="1"/>
    <xf numFmtId="164" fontId="10" fillId="4" borderId="0" xfId="0" applyNumberFormat="1" applyFont="1" applyFill="1" applyBorder="1" applyAlignment="1"/>
    <xf numFmtId="0" fontId="11" fillId="4" borderId="6" xfId="0" applyFont="1" applyFill="1" applyBorder="1" applyAlignment="1"/>
    <xf numFmtId="0" fontId="11" fillId="4" borderId="15" xfId="0" applyFont="1" applyFill="1" applyBorder="1" applyAlignment="1"/>
    <xf numFmtId="0" fontId="9" fillId="4" borderId="16" xfId="0" applyFont="1" applyFill="1" applyBorder="1" applyAlignment="1"/>
    <xf numFmtId="0" fontId="9" fillId="4" borderId="7" xfId="0" applyFont="1" applyFill="1" applyBorder="1" applyAlignment="1"/>
    <xf numFmtId="0" fontId="9" fillId="4" borderId="17" xfId="0" applyFont="1" applyFill="1" applyBorder="1" applyAlignment="1"/>
    <xf numFmtId="0" fontId="9" fillId="4" borderId="6" xfId="0" applyFont="1" applyFill="1" applyBorder="1" applyAlignment="1"/>
    <xf numFmtId="0" fontId="9" fillId="4" borderId="15" xfId="0" applyFont="1" applyFill="1" applyBorder="1" applyAlignment="1"/>
    <xf numFmtId="0" fontId="12" fillId="4" borderId="14" xfId="0" applyFont="1" applyFill="1" applyBorder="1" applyAlignment="1"/>
    <xf numFmtId="0" fontId="10" fillId="4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8" fillId="2" borderId="11" xfId="0" applyFont="1" applyFill="1" applyBorder="1" applyAlignment="1">
      <alignment horizontal="left" vertical="center"/>
    </xf>
    <xf numFmtId="0" fontId="5" fillId="5" borderId="18" xfId="0" applyFont="1" applyFill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0" fillId="0" borderId="10" xfId="0" applyBorder="1" applyAlignment="1"/>
    <xf numFmtId="164" fontId="0" fillId="4" borderId="11" xfId="0" applyNumberFormat="1" applyFill="1" applyBorder="1" applyAlignment="1">
      <alignment vertical="center"/>
    </xf>
    <xf numFmtId="0" fontId="5" fillId="5" borderId="34" xfId="0" applyFont="1" applyFill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5" fillId="4" borderId="14" xfId="0" applyFont="1" applyFill="1" applyBorder="1" applyAlignment="1"/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16" fillId="0" borderId="0" xfId="0" applyNumberFormat="1" applyFont="1" applyAlignment="1">
      <alignment horizontal="center"/>
    </xf>
    <xf numFmtId="14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2" fontId="16" fillId="0" borderId="0" xfId="0" applyNumberFormat="1" applyFont="1" applyAlignment="1">
      <alignment horizontal="right"/>
    </xf>
    <xf numFmtId="0" fontId="16" fillId="0" borderId="0" xfId="0" applyNumberFormat="1" applyFont="1"/>
    <xf numFmtId="0" fontId="13" fillId="6" borderId="21" xfId="0" applyFont="1" applyFill="1" applyBorder="1" applyAlignment="1">
      <alignment horizontal="center" vertical="center" wrapText="1"/>
    </xf>
    <xf numFmtId="0" fontId="13" fillId="6" borderId="28" xfId="0" applyFont="1" applyFill="1" applyBorder="1" applyAlignment="1">
      <alignment horizontal="center" vertical="center" wrapText="1"/>
    </xf>
    <xf numFmtId="0" fontId="13" fillId="6" borderId="22" xfId="0" applyFont="1" applyFill="1" applyBorder="1" applyAlignment="1">
      <alignment horizontal="center" vertical="center" wrapText="1"/>
    </xf>
    <xf numFmtId="0" fontId="17" fillId="0" borderId="21" xfId="0" applyFont="1" applyBorder="1" applyAlignment="1">
      <alignment vertical="center" wrapText="1"/>
    </xf>
    <xf numFmtId="0" fontId="17" fillId="0" borderId="22" xfId="0" applyFont="1" applyBorder="1" applyAlignment="1">
      <alignment vertical="center" wrapText="1"/>
    </xf>
    <xf numFmtId="0" fontId="18" fillId="0" borderId="21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19" fillId="0" borderId="39" xfId="0" applyFont="1" applyBorder="1" applyAlignment="1">
      <alignment horizontal="center" vertical="center" wrapText="1"/>
    </xf>
    <xf numFmtId="0" fontId="17" fillId="0" borderId="23" xfId="0" applyFont="1" applyBorder="1" applyAlignment="1">
      <alignment vertical="center" wrapText="1"/>
    </xf>
    <xf numFmtId="0" fontId="17" fillId="0" borderId="24" xfId="0" applyFont="1" applyBorder="1" applyAlignment="1">
      <alignment vertical="center" wrapText="1"/>
    </xf>
    <xf numFmtId="0" fontId="18" fillId="0" borderId="23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7" fillId="0" borderId="25" xfId="0" applyFont="1" applyBorder="1" applyAlignment="1">
      <alignment vertical="center" wrapText="1"/>
    </xf>
    <xf numFmtId="0" fontId="17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7" fillId="0" borderId="30" xfId="0" applyFont="1" applyBorder="1" applyAlignment="1">
      <alignment vertical="center" wrapText="1"/>
    </xf>
    <xf numFmtId="0" fontId="18" fillId="6" borderId="32" xfId="0" applyFont="1" applyFill="1" applyBorder="1" applyAlignment="1">
      <alignment horizontal="center" vertical="center" wrapText="1"/>
    </xf>
    <xf numFmtId="0" fontId="18" fillId="6" borderId="33" xfId="0" applyFont="1" applyFill="1" applyBorder="1" applyAlignment="1">
      <alignment horizontal="center" vertical="center" wrapText="1"/>
    </xf>
    <xf numFmtId="0" fontId="18" fillId="6" borderId="27" xfId="0" applyFont="1" applyFill="1" applyBorder="1" applyAlignment="1">
      <alignment horizontal="center" vertical="center" wrapText="1"/>
    </xf>
    <xf numFmtId="0" fontId="18" fillId="0" borderId="21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8" fillId="0" borderId="22" xfId="0" applyFont="1" applyBorder="1" applyAlignment="1">
      <alignment vertical="center" wrapText="1"/>
    </xf>
    <xf numFmtId="0" fontId="18" fillId="0" borderId="25" xfId="0" applyFont="1" applyBorder="1" applyAlignment="1">
      <alignment vertical="center"/>
    </xf>
    <xf numFmtId="0" fontId="18" fillId="0" borderId="29" xfId="0" applyFont="1" applyBorder="1" applyAlignment="1">
      <alignment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26" xfId="0" applyFont="1" applyBorder="1" applyAlignment="1">
      <alignment vertical="center" wrapText="1"/>
    </xf>
    <xf numFmtId="0" fontId="18" fillId="0" borderId="32" xfId="0" applyFont="1" applyBorder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17" fillId="0" borderId="31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31" xfId="0" applyFont="1" applyBorder="1" applyAlignment="1">
      <alignment horizontal="center" vertical="center" wrapText="1"/>
    </xf>
    <xf numFmtId="0" fontId="18" fillId="0" borderId="36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20" fillId="0" borderId="37" xfId="0" applyFont="1" applyBorder="1" applyAlignment="1">
      <alignment vertical="top" wrapText="1"/>
    </xf>
    <xf numFmtId="0" fontId="20" fillId="0" borderId="25" xfId="0" applyFont="1" applyBorder="1" applyAlignment="1">
      <alignment vertical="top" wrapText="1"/>
    </xf>
    <xf numFmtId="0" fontId="20" fillId="0" borderId="29" xfId="0" applyFont="1" applyBorder="1" applyAlignment="1">
      <alignment vertical="top" wrapText="1"/>
    </xf>
    <xf numFmtId="0" fontId="20" fillId="0" borderId="26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20" fillId="0" borderId="0" xfId="0" applyFont="1" applyBorder="1" applyAlignment="1">
      <alignment vertical="top" wrapText="1"/>
    </xf>
    <xf numFmtId="0" fontId="20" fillId="0" borderId="24" xfId="0" applyFont="1" applyBorder="1" applyAlignment="1">
      <alignment vertical="top" wrapText="1"/>
    </xf>
    <xf numFmtId="0" fontId="18" fillId="0" borderId="24" xfId="0" applyFont="1" applyBorder="1" applyAlignment="1">
      <alignment horizontal="center" vertical="center" wrapText="1"/>
    </xf>
    <xf numFmtId="0" fontId="18" fillId="0" borderId="21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20" fillId="0" borderId="1" xfId="0" applyFont="1" applyBorder="1"/>
    <xf numFmtId="0" fontId="18" fillId="0" borderId="2" xfId="0" applyFont="1" applyBorder="1" applyAlignment="1">
      <alignment vertical="center" wrapText="1"/>
    </xf>
    <xf numFmtId="0" fontId="18" fillId="0" borderId="10" xfId="0" applyFont="1" applyBorder="1" applyAlignment="1">
      <alignment vertical="center" wrapText="1"/>
    </xf>
    <xf numFmtId="0" fontId="18" fillId="0" borderId="23" xfId="0" applyFont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" xfId="0" applyFont="1" applyBorder="1" applyAlignment="1">
      <alignment vertical="center" wrapText="1"/>
    </xf>
    <xf numFmtId="0" fontId="18" fillId="0" borderId="11" xfId="0" applyFont="1" applyBorder="1" applyAlignment="1">
      <alignment vertical="center" wrapText="1"/>
    </xf>
    <xf numFmtId="14" fontId="18" fillId="0" borderId="23" xfId="0" applyNumberFormat="1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20" fillId="0" borderId="31" xfId="0" applyFont="1" applyBorder="1" applyAlignment="1">
      <alignment vertical="top" wrapText="1"/>
    </xf>
    <xf numFmtId="0" fontId="20" fillId="0" borderId="36" xfId="0" applyFont="1" applyBorder="1" applyAlignment="1">
      <alignment vertical="top" wrapText="1"/>
    </xf>
    <xf numFmtId="0" fontId="20" fillId="0" borderId="24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0" fillId="0" borderId="0" xfId="0" applyFont="1" applyBorder="1" applyAlignment="1">
      <alignment vertical="top" wrapText="1"/>
    </xf>
    <xf numFmtId="0" fontId="20" fillId="0" borderId="30" xfId="0" applyFont="1" applyBorder="1" applyAlignment="1">
      <alignment vertical="top" wrapText="1"/>
    </xf>
    <xf numFmtId="0" fontId="20" fillId="0" borderId="26" xfId="0" applyFont="1" applyBorder="1" applyAlignment="1">
      <alignment vertical="top" wrapText="1"/>
    </xf>
    <xf numFmtId="0" fontId="20" fillId="0" borderId="25" xfId="0" applyFont="1" applyBorder="1" applyAlignment="1">
      <alignment vertical="top" wrapText="1"/>
    </xf>
    <xf numFmtId="0" fontId="20" fillId="0" borderId="29" xfId="0" applyFont="1" applyBorder="1" applyAlignment="1">
      <alignment vertical="top" wrapText="1"/>
    </xf>
    <xf numFmtId="0" fontId="18" fillId="0" borderId="8" xfId="0" applyFont="1" applyBorder="1" applyAlignment="1">
      <alignment vertical="center" wrapText="1"/>
    </xf>
    <xf numFmtId="0" fontId="18" fillId="0" borderId="9" xfId="0" applyFont="1" applyBorder="1" applyAlignment="1">
      <alignment vertical="center" wrapText="1"/>
    </xf>
    <xf numFmtId="0" fontId="18" fillId="0" borderId="13" xfId="0" applyFont="1" applyBorder="1" applyAlignment="1">
      <alignment vertical="center" wrapText="1"/>
    </xf>
    <xf numFmtId="0" fontId="17" fillId="6" borderId="23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17" fillId="6" borderId="24" xfId="0" applyFont="1" applyFill="1" applyBorder="1" applyAlignment="1">
      <alignment horizontal="center" vertical="center" wrapText="1"/>
    </xf>
    <xf numFmtId="0" fontId="17" fillId="6" borderId="0" xfId="0" applyFont="1" applyFill="1" applyAlignment="1">
      <alignment horizontal="center" vertical="center" wrapText="1"/>
    </xf>
    <xf numFmtId="0" fontId="18" fillId="6" borderId="25" xfId="0" applyFont="1" applyFill="1" applyBorder="1" applyAlignment="1">
      <alignment vertical="center" wrapText="1"/>
    </xf>
    <xf numFmtId="0" fontId="18" fillId="6" borderId="29" xfId="0" applyFont="1" applyFill="1" applyBorder="1" applyAlignment="1">
      <alignment vertical="center" wrapText="1"/>
    </xf>
    <xf numFmtId="0" fontId="18" fillId="6" borderId="26" xfId="0" applyFont="1" applyFill="1" applyBorder="1" applyAlignment="1">
      <alignment vertical="center" wrapText="1"/>
    </xf>
    <xf numFmtId="0" fontId="18" fillId="0" borderId="23" xfId="0" applyFont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20" fillId="0" borderId="0" xfId="0" applyFont="1" applyAlignment="1">
      <alignment vertical="top" wrapText="1"/>
    </xf>
    <xf numFmtId="0" fontId="17" fillId="6" borderId="21" xfId="0" applyFont="1" applyFill="1" applyBorder="1" applyAlignment="1">
      <alignment horizontal="center" vertical="center" wrapText="1"/>
    </xf>
    <xf numFmtId="0" fontId="17" fillId="6" borderId="28" xfId="0" applyFont="1" applyFill="1" applyBorder="1" applyAlignment="1">
      <alignment horizontal="center" vertical="center" wrapText="1"/>
    </xf>
    <xf numFmtId="0" fontId="17" fillId="6" borderId="22" xfId="0" applyFont="1" applyFill="1" applyBorder="1" applyAlignment="1">
      <alignment horizontal="center" vertical="center" wrapText="1"/>
    </xf>
    <xf numFmtId="0" fontId="20" fillId="0" borderId="38" xfId="0" applyFont="1" applyBorder="1" applyAlignment="1">
      <alignment vertical="top" wrapText="1"/>
    </xf>
    <xf numFmtId="0" fontId="21" fillId="0" borderId="21" xfId="0" applyFont="1" applyBorder="1" applyAlignment="1">
      <alignment vertical="center" wrapText="1"/>
    </xf>
    <xf numFmtId="0" fontId="21" fillId="0" borderId="28" xfId="0" applyFont="1" applyBorder="1" applyAlignment="1">
      <alignment vertical="center" wrapText="1"/>
    </xf>
    <xf numFmtId="0" fontId="21" fillId="0" borderId="0" xfId="0" applyFont="1" applyBorder="1" applyAlignment="1">
      <alignment vertical="center" wrapText="1"/>
    </xf>
    <xf numFmtId="0" fontId="21" fillId="0" borderId="22" xfId="0" applyFont="1" applyBorder="1" applyAlignment="1">
      <alignment vertical="center" wrapText="1"/>
    </xf>
    <xf numFmtId="0" fontId="21" fillId="0" borderId="23" xfId="0" applyFont="1" applyBorder="1" applyAlignment="1">
      <alignment vertical="center" wrapText="1"/>
    </xf>
    <xf numFmtId="0" fontId="21" fillId="0" borderId="24" xfId="0" applyFont="1" applyBorder="1" applyAlignment="1">
      <alignment vertical="center" wrapText="1"/>
    </xf>
    <xf numFmtId="0" fontId="21" fillId="0" borderId="25" xfId="0" applyFont="1" applyBorder="1" applyAlignment="1">
      <alignment vertical="center" wrapText="1"/>
    </xf>
    <xf numFmtId="0" fontId="21" fillId="0" borderId="29" xfId="0" applyFont="1" applyBorder="1" applyAlignment="1">
      <alignment vertical="center" wrapText="1"/>
    </xf>
    <xf numFmtId="0" fontId="21" fillId="0" borderId="26" xfId="0" applyFont="1" applyBorder="1" applyAlignment="1">
      <alignment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" xfId="0" applyFont="1" applyBorder="1" applyAlignment="1">
      <alignment vertical="center" wrapText="1"/>
    </xf>
    <xf numFmtId="0" fontId="17" fillId="0" borderId="2" xfId="0" applyFont="1" applyBorder="1" applyAlignment="1">
      <alignment vertical="center" wrapText="1"/>
    </xf>
    <xf numFmtId="0" fontId="17" fillId="0" borderId="10" xfId="0" applyFont="1" applyBorder="1" applyAlignment="1">
      <alignment vertical="center" wrapText="1"/>
    </xf>
    <xf numFmtId="0" fontId="17" fillId="0" borderId="3" xfId="0" applyFont="1" applyBorder="1" applyAlignment="1">
      <alignment horizontal="right" wrapText="1"/>
    </xf>
    <xf numFmtId="0" fontId="17" fillId="0" borderId="0" xfId="0" applyFont="1" applyBorder="1" applyAlignment="1">
      <alignment horizontal="right" wrapText="1"/>
    </xf>
    <xf numFmtId="0" fontId="17" fillId="0" borderId="11" xfId="0" applyFont="1" applyBorder="1" applyAlignment="1">
      <alignment horizontal="right" wrapText="1"/>
    </xf>
    <xf numFmtId="0" fontId="17" fillId="0" borderId="3" xfId="0" applyFont="1" applyBorder="1" applyAlignment="1">
      <alignment vertical="center" wrapText="1"/>
    </xf>
    <xf numFmtId="0" fontId="17" fillId="0" borderId="0" xfId="0" applyFont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3" xfId="0" applyFont="1" applyBorder="1" applyAlignment="1">
      <alignment vertical="center" wrapText="1"/>
    </xf>
    <xf numFmtId="0" fontId="17" fillId="0" borderId="0" xfId="0" applyFont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16" xfId="0" applyFont="1" applyBorder="1" applyAlignment="1">
      <alignment horizontal="left" vertical="center"/>
    </xf>
    <xf numFmtId="0" fontId="17" fillId="0" borderId="7" xfId="0" applyFont="1" applyBorder="1" applyAlignment="1">
      <alignment vertical="center" wrapText="1"/>
    </xf>
    <xf numFmtId="0" fontId="20" fillId="0" borderId="7" xfId="0" applyFont="1" applyBorder="1"/>
    <xf numFmtId="0" fontId="17" fillId="0" borderId="0" xfId="0" applyFont="1" applyBorder="1" applyAlignment="1">
      <alignment vertical="center"/>
    </xf>
    <xf numFmtId="0" fontId="17" fillId="0" borderId="11" xfId="0" applyFont="1" applyBorder="1" applyAlignment="1">
      <alignment vertical="center"/>
    </xf>
    <xf numFmtId="0" fontId="22" fillId="0" borderId="3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17" fillId="0" borderId="8" xfId="0" applyFont="1" applyBorder="1" applyAlignment="1">
      <alignment horizontal="right" vertical="center"/>
    </xf>
    <xf numFmtId="0" fontId="17" fillId="0" borderId="9" xfId="0" applyFont="1" applyBorder="1" applyAlignment="1">
      <alignment horizontal="right" vertical="center"/>
    </xf>
    <xf numFmtId="0" fontId="17" fillId="0" borderId="13" xfId="0" applyFont="1" applyBorder="1" applyAlignment="1">
      <alignment horizontal="right" vertical="center"/>
    </xf>
    <xf numFmtId="0" fontId="18" fillId="0" borderId="8" xfId="0" applyFont="1" applyBorder="1" applyAlignment="1">
      <alignment horizontal="right" vertical="center" wrapText="1"/>
    </xf>
    <xf numFmtId="0" fontId="18" fillId="0" borderId="9" xfId="0" applyFont="1" applyBorder="1" applyAlignment="1">
      <alignment horizontal="right" vertical="center" wrapText="1"/>
    </xf>
    <xf numFmtId="0" fontId="18" fillId="0" borderId="13" xfId="0" applyFont="1" applyBorder="1" applyAlignment="1">
      <alignment horizontal="right" vertical="center" wrapText="1"/>
    </xf>
    <xf numFmtId="0" fontId="18" fillId="0" borderId="25" xfId="0" applyFont="1" applyBorder="1" applyAlignment="1">
      <alignment horizontal="right" vertical="center" wrapText="1"/>
    </xf>
    <xf numFmtId="0" fontId="18" fillId="0" borderId="29" xfId="0" applyFont="1" applyBorder="1" applyAlignment="1">
      <alignment horizontal="right" vertical="center" wrapText="1"/>
    </xf>
    <xf numFmtId="0" fontId="18" fillId="0" borderId="26" xfId="0" applyFont="1" applyBorder="1" applyAlignment="1">
      <alignment horizontal="right" vertical="center" wrapText="1"/>
    </xf>
    <xf numFmtId="0" fontId="23" fillId="0" borderId="0" xfId="0" applyNumberFormat="1" applyFont="1"/>
    <xf numFmtId="0" fontId="23" fillId="0" borderId="0" xfId="0" applyFont="1"/>
    <xf numFmtId="0" fontId="23" fillId="0" borderId="0" xfId="0" applyFont="1" applyAlignment="1">
      <alignment horizontal="center"/>
    </xf>
    <xf numFmtId="0" fontId="23" fillId="0" borderId="0" xfId="0" applyNumberFormat="1" applyFont="1" applyAlignment="1">
      <alignment horizontal="center"/>
    </xf>
    <xf numFmtId="2" fontId="23" fillId="0" borderId="0" xfId="0" applyNumberFormat="1" applyFont="1" applyAlignment="1">
      <alignment horizontal="right"/>
    </xf>
  </cellXfs>
  <cellStyles count="1">
    <cellStyle name="Normal" xfId="0" builtinId="0"/>
  </cellStyles>
  <dxfs count="22">
    <dxf>
      <font>
        <strike val="0"/>
        <outline val="0"/>
        <shadow val="0"/>
        <u val="none"/>
        <vertAlign val="baseline"/>
        <sz val="12"/>
        <color theme="0"/>
        <name val="Mont serrat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Mont serra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Mont serrat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ont serrat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Mont serrat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ont serrat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ont serrat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ont serrat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ont serrat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ont serrat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ont serrat"/>
        <scheme val="none"/>
      </font>
      <numFmt numFmtId="165" formatCode="m/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ont serrat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ont serrat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medium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4706938</xdr:colOff>
      <xdr:row>1</xdr:row>
      <xdr:rowOff>1000125</xdr:rowOff>
    </xdr:to>
    <xdr:pic>
      <xdr:nvPicPr>
        <xdr:cNvPr id="4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49938" cy="119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606137</xdr:colOff>
      <xdr:row>0</xdr:row>
      <xdr:rowOff>119062</xdr:rowOff>
    </xdr:from>
    <xdr:to>
      <xdr:col>1</xdr:col>
      <xdr:colOff>1056409</xdr:colOff>
      <xdr:row>1</xdr:row>
      <xdr:rowOff>445991</xdr:rowOff>
    </xdr:to>
    <xdr:pic>
      <xdr:nvPicPr>
        <xdr:cNvPr id="4" name="Imagem 6" descr="Logo Multivarej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137" y="119062"/>
          <a:ext cx="2701636" cy="8984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A1:L2" totalsRowShown="0" headerRowDxfId="0" headerRowCellStyle="Ênfase1" dataCellStyle="Ênfase1">
  <tableColumns count="12">
    <tableColumn id="1" name="ID" dataDxfId="12"/>
    <tableColumn id="2" name="DATA" dataDxfId="11"/>
    <tableColumn id="10" name="PLACA" dataDxfId="10"/>
    <tableColumn id="3" name="ROTA" dataDxfId="9"/>
    <tableColumn id="4" name="ALIADO" dataDxfId="8"/>
    <tableColumn id="5" name="OCORRENCIA" dataDxfId="7"/>
    <tableColumn id="6" name="NOTAS" dataDxfId="6"/>
    <tableColumn id="7" name="VALOR R$" dataDxfId="5"/>
    <tableColumn id="8" name="STATUS" dataDxfId="4"/>
    <tableColumn id="11" name="CHAMADO" dataDxfId="3"/>
    <tableColumn id="13" name="MOTIVO" dataDxfId="2"/>
    <tableColumn id="9" name="ASNDV" dataDxfId="1">
      <calculatedColumnFormula>CONCATENATE("ASNDV675700",Tabela1[ROTA])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5:F6" totalsRowShown="0" headerRowDxfId="21" dataDxfId="20" tableBorderDxfId="19">
  <tableColumns count="6">
    <tableColumn id="1" name="CLIENTE" dataDxfId="18"/>
    <tableColumn id="2" name="ASN" dataDxfId="17"/>
    <tableColumn id="3" name="Nº Nota Fiscal " dataDxfId="16"/>
    <tableColumn id="4" name="Rota" dataDxfId="15"/>
    <tableColumn id="5" name="Placa do veículo" dataDxfId="14"/>
    <tableColumn id="6" name="OCORRÊNCIA" dataDxfId="1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4" tint="0.39997558519241921"/>
  </sheetPr>
  <dimension ref="A1:O14"/>
  <sheetViews>
    <sheetView showGridLines="0" showRowColHeaders="0" tabSelected="1" zoomScale="85" zoomScaleNormal="85" workbookViewId="0">
      <selection activeCell="A2" sqref="A2"/>
    </sheetView>
  </sheetViews>
  <sheetFormatPr defaultColWidth="8.140625" defaultRowHeight="15"/>
  <cols>
    <col min="1" max="1" width="3.5703125" style="3" bestFit="1" customWidth="1"/>
    <col min="2" max="2" width="20.42578125" style="1" bestFit="1" customWidth="1"/>
    <col min="3" max="3" width="9.85546875" style="1" bestFit="1" customWidth="1"/>
    <col min="4" max="4" width="9.42578125" style="1" bestFit="1" customWidth="1"/>
    <col min="5" max="5" width="9.85546875" style="1" bestFit="1" customWidth="1"/>
    <col min="6" max="6" width="17.140625" style="1" bestFit="1" customWidth="1"/>
    <col min="7" max="7" width="15.5703125" style="3" bestFit="1" customWidth="1"/>
    <col min="8" max="8" width="12.28515625" style="6" customWidth="1"/>
    <col min="9" max="9" width="21.140625" style="1" bestFit="1" customWidth="1"/>
    <col min="10" max="10" width="15.5703125" style="5" bestFit="1" customWidth="1"/>
    <col min="11" max="11" width="56.85546875" style="5" bestFit="1" customWidth="1"/>
    <col min="12" max="12" width="23.7109375" style="5" bestFit="1" customWidth="1"/>
    <col min="13" max="13" width="8" style="7" customWidth="1"/>
    <col min="14" max="14" width="2.140625" style="7" bestFit="1" customWidth="1"/>
    <col min="15" max="15" width="8.140625" style="7"/>
    <col min="16" max="16384" width="8.140625" style="10"/>
  </cols>
  <sheetData>
    <row r="1" spans="1:15" s="8" customFormat="1" ht="15.75">
      <c r="A1" s="195" t="s">
        <v>9</v>
      </c>
      <c r="B1" s="196" t="s">
        <v>0</v>
      </c>
      <c r="C1" s="196" t="s">
        <v>50</v>
      </c>
      <c r="D1" s="197" t="s">
        <v>1</v>
      </c>
      <c r="E1" s="197" t="s">
        <v>2</v>
      </c>
      <c r="F1" s="197" t="s">
        <v>3</v>
      </c>
      <c r="G1" s="198" t="s">
        <v>4</v>
      </c>
      <c r="H1" s="199" t="s">
        <v>5</v>
      </c>
      <c r="I1" s="197" t="s">
        <v>11</v>
      </c>
      <c r="J1" s="197" t="s">
        <v>7</v>
      </c>
      <c r="K1" s="197" t="s">
        <v>6</v>
      </c>
      <c r="L1" s="196" t="s">
        <v>10</v>
      </c>
      <c r="M1" s="7"/>
      <c r="N1" s="7">
        <v>1</v>
      </c>
      <c r="O1" s="7"/>
    </row>
    <row r="2" spans="1:15" s="8" customFormat="1">
      <c r="A2" s="55"/>
      <c r="B2" s="56"/>
      <c r="C2" s="57"/>
      <c r="D2" s="58"/>
      <c r="E2" s="58"/>
      <c r="F2" s="58"/>
      <c r="G2" s="55"/>
      <c r="H2" s="59"/>
      <c r="I2" s="58"/>
      <c r="J2" s="58"/>
      <c r="K2" s="58"/>
      <c r="L2" s="60" t="str">
        <f>CONCATENATE("ASNDV675700",Tabela1[ROTA])</f>
        <v>ASNDV675700</v>
      </c>
      <c r="M2" s="7"/>
      <c r="N2" s="9"/>
      <c r="O2" s="7"/>
    </row>
    <row r="3" spans="1:15">
      <c r="B3" s="2"/>
      <c r="C3" s="2"/>
      <c r="J3" s="1"/>
      <c r="N3" s="9"/>
    </row>
    <row r="4" spans="1:15">
      <c r="B4" s="2"/>
      <c r="C4" s="2"/>
      <c r="J4" s="1"/>
      <c r="N4" s="9"/>
    </row>
    <row r="5" spans="1:15">
      <c r="B5" s="2"/>
      <c r="C5" s="2"/>
      <c r="J5" s="1"/>
    </row>
    <row r="6" spans="1:15">
      <c r="B6" s="2"/>
      <c r="C6" s="2"/>
      <c r="J6" s="1"/>
    </row>
    <row r="7" spans="1:15">
      <c r="B7" s="2"/>
      <c r="C7" s="2"/>
      <c r="I7" s="1" t="s">
        <v>8</v>
      </c>
      <c r="J7" s="1" t="s">
        <v>8</v>
      </c>
    </row>
    <row r="8" spans="1:15">
      <c r="B8" s="2"/>
      <c r="C8" s="2"/>
      <c r="J8" s="1"/>
    </row>
    <row r="9" spans="1:15">
      <c r="B9" s="2"/>
      <c r="C9" s="2"/>
      <c r="J9" s="1"/>
    </row>
    <row r="14" spans="1:15">
      <c r="A14" s="4"/>
      <c r="H14" s="6" t="s">
        <v>8</v>
      </c>
      <c r="I14" s="1" t="s">
        <v>8</v>
      </c>
    </row>
  </sheetData>
  <sheetProtection selectLockedCells="1" selectUnlockedCells="1"/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70C0"/>
    <pageSetUpPr fitToPage="1"/>
  </sheetPr>
  <dimension ref="A1:P34"/>
  <sheetViews>
    <sheetView showGridLines="0" showRuler="0" zoomScale="40" zoomScaleNormal="40" zoomScaleSheetLayoutView="130" zoomScalePageLayoutView="50" workbookViewId="0">
      <selection activeCell="B6" sqref="B6"/>
    </sheetView>
  </sheetViews>
  <sheetFormatPr defaultRowHeight="15"/>
  <cols>
    <col min="1" max="1" width="16" style="17" customWidth="1"/>
    <col min="2" max="2" width="74.140625" style="16" customWidth="1"/>
    <col min="3" max="3" width="47.140625" style="16" customWidth="1"/>
    <col min="4" max="4" width="50.7109375" style="16" customWidth="1"/>
    <col min="5" max="5" width="39.7109375" style="16" customWidth="1"/>
    <col min="6" max="6" width="58.140625" style="16" customWidth="1"/>
    <col min="7" max="16384" width="9.140625" style="16"/>
  </cols>
  <sheetData>
    <row r="1" spans="1:16" s="13" customFormat="1">
      <c r="A1" s="11">
        <v>7666989</v>
      </c>
      <c r="B1" s="12"/>
      <c r="C1" s="12"/>
      <c r="D1" s="12"/>
      <c r="E1" s="12"/>
      <c r="F1" s="45"/>
      <c r="G1" s="16"/>
      <c r="H1" s="16"/>
      <c r="I1" s="16"/>
      <c r="J1" s="16"/>
      <c r="K1" s="16"/>
      <c r="L1" s="16"/>
      <c r="M1" s="16"/>
      <c r="N1" s="16"/>
      <c r="O1" s="16"/>
      <c r="P1" s="16"/>
    </row>
    <row r="2" spans="1:16" ht="81" customHeight="1">
      <c r="A2" s="14"/>
      <c r="B2" s="15"/>
      <c r="C2" s="15"/>
      <c r="D2" s="19" t="str">
        <f ca="1">CONCATENATE("DATA DO RETORNO ",TEXT(TODAY(),"DD/MM/AAAA"))</f>
        <v>DATA DO RETORNO 25/11/2021</v>
      </c>
      <c r="E2" s="15"/>
      <c r="F2" s="40" t="s">
        <v>19</v>
      </c>
    </row>
    <row r="3" spans="1:16" ht="20.25">
      <c r="A3" s="52" t="s">
        <v>18</v>
      </c>
      <c r="B3" s="53"/>
      <c r="C3" s="53"/>
      <c r="D3" s="53"/>
      <c r="E3" s="53"/>
      <c r="F3" s="54"/>
    </row>
    <row r="4" spans="1:16" s="18" customFormat="1" ht="20.25">
      <c r="A4" s="20"/>
      <c r="B4" s="21"/>
      <c r="C4" s="21"/>
      <c r="D4" s="21"/>
      <c r="E4" s="21"/>
      <c r="F4" s="26"/>
    </row>
    <row r="5" spans="1:16" ht="25.5" customHeight="1">
      <c r="A5" s="47" t="s">
        <v>12</v>
      </c>
      <c r="B5" s="43" t="s">
        <v>13</v>
      </c>
      <c r="C5" s="44" t="s">
        <v>14</v>
      </c>
      <c r="D5" s="44" t="s">
        <v>15</v>
      </c>
      <c r="E5" s="44" t="s">
        <v>16</v>
      </c>
      <c r="F5" s="41" t="s">
        <v>17</v>
      </c>
    </row>
    <row r="6" spans="1:16" ht="46.5" customHeight="1">
      <c r="A6" s="48" t="s">
        <v>61</v>
      </c>
      <c r="B6" s="49" t="s">
        <v>63</v>
      </c>
      <c r="C6" s="49" t="s">
        <v>69</v>
      </c>
      <c r="D6" s="50" t="s">
        <v>62</v>
      </c>
      <c r="E6" s="50" t="s">
        <v>59</v>
      </c>
      <c r="F6" s="50" t="s">
        <v>68</v>
      </c>
    </row>
    <row r="7" spans="1:16">
      <c r="F7" s="27"/>
    </row>
    <row r="8" spans="1:16">
      <c r="F8" s="27"/>
    </row>
    <row r="9" spans="1:16" ht="26.25" customHeight="1">
      <c r="A9" s="51" t="s">
        <v>64</v>
      </c>
      <c r="B9" s="30"/>
      <c r="C9" s="30"/>
      <c r="D9" s="30"/>
      <c r="E9" s="30"/>
      <c r="F9" s="31"/>
    </row>
    <row r="10" spans="1:16" ht="16.5">
      <c r="A10" s="32"/>
      <c r="B10" s="33"/>
      <c r="C10" s="33"/>
      <c r="D10" s="33"/>
      <c r="E10" s="33"/>
      <c r="F10" s="34"/>
    </row>
    <row r="11" spans="1:16" ht="85.5" customHeight="1">
      <c r="A11" s="37"/>
      <c r="B11" s="35"/>
      <c r="C11" s="35"/>
      <c r="D11" s="35"/>
      <c r="E11" s="35"/>
      <c r="F11" s="36"/>
    </row>
    <row r="12" spans="1:16">
      <c r="A12" s="22"/>
      <c r="B12" s="23"/>
      <c r="C12" s="23"/>
      <c r="D12" s="23"/>
      <c r="E12" s="23"/>
      <c r="F12" s="46"/>
    </row>
    <row r="13" spans="1:16" ht="212.25" customHeight="1">
      <c r="A13" s="28" t="s">
        <v>22</v>
      </c>
      <c r="B13" s="29"/>
      <c r="C13" s="29"/>
      <c r="D13" s="29"/>
      <c r="E13" s="29"/>
      <c r="F13" s="39" t="s">
        <v>25</v>
      </c>
    </row>
    <row r="14" spans="1:16" ht="48" customHeight="1">
      <c r="A14" s="28" t="s">
        <v>23</v>
      </c>
      <c r="B14" s="29"/>
      <c r="C14" s="29"/>
      <c r="D14" s="29"/>
      <c r="E14" s="29"/>
      <c r="F14" s="38" t="s">
        <v>20</v>
      </c>
    </row>
    <row r="15" spans="1:16" ht="46.5" customHeight="1">
      <c r="A15" s="28" t="s">
        <v>24</v>
      </c>
      <c r="B15" s="29"/>
      <c r="C15" s="29"/>
      <c r="D15" s="29"/>
      <c r="E15" s="29"/>
      <c r="F15" s="38"/>
    </row>
    <row r="16" spans="1:16" ht="46.5" customHeight="1">
      <c r="A16" s="28"/>
      <c r="B16" s="29"/>
      <c r="C16" s="29"/>
      <c r="D16" s="29"/>
      <c r="E16" s="29"/>
      <c r="F16" s="39" t="s">
        <v>25</v>
      </c>
    </row>
    <row r="17" spans="1:6" ht="90" customHeight="1" thickBot="1">
      <c r="A17" s="24"/>
      <c r="B17" s="25"/>
      <c r="C17" s="25"/>
      <c r="D17" s="25"/>
      <c r="E17" s="25"/>
      <c r="F17" s="42" t="s">
        <v>21</v>
      </c>
    </row>
    <row r="18" spans="1:6">
      <c r="A18" s="16"/>
    </row>
    <row r="19" spans="1:6">
      <c r="A19" s="16"/>
    </row>
    <row r="20" spans="1:6">
      <c r="A20" s="16"/>
    </row>
    <row r="21" spans="1:6">
      <c r="A21" s="16"/>
    </row>
    <row r="22" spans="1:6">
      <c r="A22" s="16"/>
    </row>
    <row r="23" spans="1:6">
      <c r="A23" s="16"/>
    </row>
    <row r="24" spans="1:6">
      <c r="A24" s="16"/>
    </row>
    <row r="25" spans="1:6">
      <c r="A25" s="16"/>
    </row>
    <row r="26" spans="1:6">
      <c r="A26" s="16"/>
    </row>
    <row r="27" spans="1:6">
      <c r="A27" s="16"/>
    </row>
    <row r="28" spans="1:6">
      <c r="A28" s="16"/>
    </row>
    <row r="29" spans="1:6">
      <c r="A29" s="16"/>
    </row>
    <row r="30" spans="1:6">
      <c r="A30" s="16"/>
    </row>
    <row r="31" spans="1:6">
      <c r="A31" s="16"/>
    </row>
    <row r="32" spans="1:6">
      <c r="A32" s="16"/>
    </row>
    <row r="33" spans="1:1">
      <c r="A33" s="16"/>
    </row>
    <row r="34" spans="1:1">
      <c r="A34" s="16"/>
    </row>
  </sheetData>
  <mergeCells count="1">
    <mergeCell ref="A3:F3"/>
  </mergeCells>
  <printOptions horizontalCentered="1"/>
  <pageMargins left="0.25" right="0.25" top="0.75" bottom="0.75" header="0.3" footer="0.3"/>
  <pageSetup paperSize="9" scale="49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FFFF00"/>
    <pageSetUpPr fitToPage="1"/>
  </sheetPr>
  <dimension ref="A1:K40"/>
  <sheetViews>
    <sheetView showGridLines="0" showWhiteSpace="0" view="pageBreakPreview" zoomScale="55" zoomScaleNormal="40" zoomScaleSheetLayoutView="55" zoomScalePageLayoutView="85" workbookViewId="0">
      <selection activeCell="H6" sqref="H6:I6"/>
    </sheetView>
  </sheetViews>
  <sheetFormatPr defaultColWidth="17.85546875" defaultRowHeight="15"/>
  <cols>
    <col min="1" max="1" width="33.85546875" customWidth="1"/>
    <col min="2" max="2" width="35" customWidth="1"/>
    <col min="3" max="3" width="17.140625" hidden="1" customWidth="1"/>
    <col min="5" max="5" width="30.5703125" bestFit="1" customWidth="1"/>
    <col min="6" max="6" width="43" bestFit="1" customWidth="1"/>
    <col min="7" max="7" width="16.85546875" hidden="1" customWidth="1"/>
    <col min="8" max="8" width="0.28515625" customWidth="1"/>
    <col min="9" max="9" width="129.7109375" bestFit="1" customWidth="1"/>
    <col min="10" max="10" width="17.85546875" hidden="1" customWidth="1"/>
    <col min="11" max="11" width="32.5703125" customWidth="1"/>
  </cols>
  <sheetData>
    <row r="1" spans="1:11" ht="45" customHeight="1" thickBot="1">
      <c r="A1" s="64" t="s">
        <v>26</v>
      </c>
      <c r="B1" s="65"/>
      <c r="C1" s="66" t="s">
        <v>27</v>
      </c>
      <c r="D1" s="67"/>
      <c r="E1" s="67"/>
      <c r="F1" s="67"/>
      <c r="G1" s="67"/>
      <c r="H1" s="67"/>
      <c r="I1" s="67"/>
      <c r="J1" s="67"/>
      <c r="K1" s="68" t="s">
        <v>28</v>
      </c>
    </row>
    <row r="2" spans="1:11" ht="50.25" customHeight="1">
      <c r="A2" s="69"/>
      <c r="B2" s="70"/>
      <c r="C2" s="71"/>
      <c r="D2" s="72"/>
      <c r="E2" s="72"/>
      <c r="F2" s="72"/>
      <c r="G2" s="72"/>
      <c r="H2" s="72"/>
      <c r="I2" s="72"/>
      <c r="J2" s="73"/>
      <c r="K2" s="74" t="str">
        <f ca="1">CONCATENATE("DATA: ",TEXT(TODAY(),"DD/MM/AAAA"))</f>
        <v>DATA: 25/11/2021</v>
      </c>
    </row>
    <row r="3" spans="1:11" ht="1.5" customHeight="1" thickBot="1">
      <c r="A3" s="75"/>
      <c r="B3" s="76"/>
      <c r="C3" s="77"/>
      <c r="D3" s="78"/>
      <c r="E3" s="78"/>
      <c r="F3" s="78"/>
      <c r="G3" s="78"/>
      <c r="H3" s="78"/>
      <c r="I3" s="78"/>
      <c r="J3" s="79"/>
      <c r="K3" s="80"/>
    </row>
    <row r="4" spans="1:11" ht="24" customHeight="1" thickBot="1">
      <c r="A4" s="81" t="s">
        <v>29</v>
      </c>
      <c r="B4" s="82"/>
      <c r="C4" s="82"/>
      <c r="D4" s="82"/>
      <c r="E4" s="82"/>
      <c r="F4" s="82"/>
      <c r="G4" s="83"/>
      <c r="H4" s="81" t="s">
        <v>57</v>
      </c>
      <c r="I4" s="82"/>
      <c r="J4" s="82"/>
      <c r="K4" s="83"/>
    </row>
    <row r="5" spans="1:11" ht="26.25">
      <c r="A5" s="84" t="s">
        <v>30</v>
      </c>
      <c r="B5" s="85"/>
      <c r="C5" s="86"/>
      <c r="D5" s="84" t="s">
        <v>31</v>
      </c>
      <c r="E5" s="85"/>
      <c r="F5" s="85"/>
      <c r="G5" s="86"/>
      <c r="H5" s="84" t="s">
        <v>51</v>
      </c>
      <c r="I5" s="86"/>
      <c r="J5" s="84" t="s">
        <v>33</v>
      </c>
      <c r="K5" s="86"/>
    </row>
    <row r="6" spans="1:11" ht="42" customHeight="1" thickBot="1">
      <c r="A6" s="87" t="s">
        <v>60</v>
      </c>
      <c r="B6" s="88"/>
      <c r="C6" s="89"/>
      <c r="D6" s="90" t="s">
        <v>32</v>
      </c>
      <c r="E6" s="91"/>
      <c r="F6" s="91"/>
      <c r="G6" s="92"/>
      <c r="H6" s="90" t="s">
        <v>52</v>
      </c>
      <c r="I6" s="92"/>
      <c r="J6" s="75" t="s">
        <v>34</v>
      </c>
      <c r="K6" s="76"/>
    </row>
    <row r="7" spans="1:11" ht="35.25" customHeight="1" thickBot="1">
      <c r="A7" s="93" t="s">
        <v>35</v>
      </c>
      <c r="B7" s="94"/>
      <c r="C7" s="94"/>
      <c r="D7" s="67"/>
      <c r="E7" s="94"/>
      <c r="F7" s="94"/>
      <c r="G7" s="94"/>
      <c r="H7" s="94"/>
      <c r="I7" s="94"/>
      <c r="J7" s="94"/>
      <c r="K7" s="95"/>
    </row>
    <row r="8" spans="1:11" ht="15" customHeight="1">
      <c r="A8" s="96"/>
      <c r="B8" s="66" t="s">
        <v>37</v>
      </c>
      <c r="C8" s="67"/>
      <c r="D8" s="97"/>
      <c r="E8" s="98" t="s">
        <v>39</v>
      </c>
      <c r="F8" s="66"/>
      <c r="G8" s="67"/>
      <c r="H8" s="98"/>
      <c r="I8" s="66"/>
      <c r="J8" s="67"/>
      <c r="K8" s="98"/>
    </row>
    <row r="9" spans="1:11" ht="51" customHeight="1">
      <c r="A9" s="99" t="s">
        <v>36</v>
      </c>
      <c r="B9" s="71"/>
      <c r="C9" s="72"/>
      <c r="D9" s="100" t="s">
        <v>38</v>
      </c>
      <c r="E9" s="73"/>
      <c r="F9" s="71" t="s">
        <v>58</v>
      </c>
      <c r="G9" s="101"/>
      <c r="H9" s="73"/>
      <c r="I9" s="71" t="s">
        <v>40</v>
      </c>
      <c r="J9" s="101"/>
      <c r="K9" s="73"/>
    </row>
    <row r="10" spans="1:11" ht="27" thickBot="1">
      <c r="A10" s="102"/>
      <c r="B10" s="77"/>
      <c r="C10" s="78"/>
      <c r="D10" s="103"/>
      <c r="E10" s="79"/>
      <c r="F10" s="104"/>
      <c r="G10" s="105"/>
      <c r="H10" s="106"/>
      <c r="I10" s="107"/>
      <c r="J10" s="108"/>
      <c r="K10" s="109"/>
    </row>
    <row r="11" spans="1:11" ht="45" customHeight="1">
      <c r="A11" s="99"/>
      <c r="B11" s="66"/>
      <c r="C11" s="67"/>
      <c r="D11" s="100"/>
      <c r="E11" s="110"/>
      <c r="F11" s="111"/>
      <c r="G11" s="112"/>
      <c r="H11" s="112"/>
      <c r="I11" s="113"/>
      <c r="J11" s="114"/>
      <c r="K11" s="115"/>
    </row>
    <row r="12" spans="1:11" ht="26.25">
      <c r="A12" s="99"/>
      <c r="B12" s="71"/>
      <c r="C12" s="72"/>
      <c r="D12" s="100"/>
      <c r="E12" s="110"/>
      <c r="F12" s="116"/>
      <c r="G12" s="117"/>
      <c r="H12" s="118"/>
      <c r="I12" s="119"/>
      <c r="J12" s="118"/>
      <c r="K12" s="120"/>
    </row>
    <row r="13" spans="1:11" ht="22.5" customHeight="1">
      <c r="A13" s="99" t="s">
        <v>69</v>
      </c>
      <c r="B13" s="121">
        <v>44525</v>
      </c>
      <c r="C13" s="118"/>
      <c r="D13" s="100">
        <v>5</v>
      </c>
      <c r="E13" s="110">
        <v>91234</v>
      </c>
      <c r="F13" s="122" t="s">
        <v>70</v>
      </c>
      <c r="G13" s="117"/>
      <c r="H13" s="118"/>
      <c r="I13" s="123" t="s">
        <v>65</v>
      </c>
      <c r="J13" s="124"/>
      <c r="K13" s="125"/>
    </row>
    <row r="14" spans="1:11" ht="26.25">
      <c r="A14" s="126"/>
      <c r="B14" s="107"/>
      <c r="C14" s="108"/>
      <c r="D14" s="127"/>
      <c r="E14" s="128"/>
      <c r="F14" s="129"/>
      <c r="G14" s="130"/>
      <c r="H14" s="131"/>
      <c r="I14" s="119"/>
      <c r="J14" s="118"/>
      <c r="K14" s="120"/>
    </row>
    <row r="15" spans="1:11" ht="27" thickBot="1">
      <c r="A15" s="132"/>
      <c r="B15" s="104"/>
      <c r="C15" s="105"/>
      <c r="D15" s="103"/>
      <c r="E15" s="133"/>
      <c r="F15" s="134"/>
      <c r="G15" s="135"/>
      <c r="H15" s="135"/>
      <c r="I15" s="136"/>
      <c r="J15" s="137"/>
      <c r="K15" s="138"/>
    </row>
    <row r="16" spans="1:11" ht="26.25">
      <c r="A16" s="99"/>
      <c r="B16" s="66"/>
      <c r="C16" s="67"/>
      <c r="D16" s="100"/>
      <c r="E16" s="110"/>
      <c r="F16" s="66"/>
      <c r="G16" s="67"/>
      <c r="H16" s="98"/>
      <c r="I16" s="139"/>
      <c r="J16" s="140"/>
      <c r="K16" s="141"/>
    </row>
    <row r="17" spans="1:11" ht="25.5" customHeight="1">
      <c r="A17" s="99"/>
      <c r="B17" s="71"/>
      <c r="C17" s="72"/>
      <c r="D17" s="100"/>
      <c r="E17" s="110"/>
      <c r="F17" s="71"/>
      <c r="G17" s="101"/>
      <c r="H17" s="73"/>
      <c r="I17" s="139" t="s">
        <v>66</v>
      </c>
      <c r="J17" s="142"/>
      <c r="K17" s="141"/>
    </row>
    <row r="18" spans="1:11" ht="26.25">
      <c r="A18" s="99" t="s">
        <v>41</v>
      </c>
      <c r="B18" s="71" t="s">
        <v>41</v>
      </c>
      <c r="C18" s="72"/>
      <c r="D18" s="100" t="s">
        <v>41</v>
      </c>
      <c r="E18" s="110" t="s">
        <v>41</v>
      </c>
      <c r="F18" s="71" t="s">
        <v>41</v>
      </c>
      <c r="G18" s="101"/>
      <c r="H18" s="73"/>
      <c r="I18" s="139" t="s">
        <v>42</v>
      </c>
      <c r="J18" s="142"/>
      <c r="K18" s="141"/>
    </row>
    <row r="19" spans="1:11" ht="27" thickBot="1">
      <c r="A19" s="132"/>
      <c r="B19" s="104"/>
      <c r="C19" s="105"/>
      <c r="D19" s="103"/>
      <c r="E19" s="133"/>
      <c r="F19" s="104"/>
      <c r="G19" s="105"/>
      <c r="H19" s="106"/>
      <c r="I19" s="143"/>
      <c r="J19" s="144"/>
      <c r="K19" s="145"/>
    </row>
    <row r="20" spans="1:11" ht="26.25">
      <c r="A20" s="99"/>
      <c r="B20" s="66"/>
      <c r="C20" s="67"/>
      <c r="D20" s="100"/>
      <c r="E20" s="110"/>
      <c r="F20" s="66"/>
      <c r="G20" s="67"/>
      <c r="H20" s="98"/>
      <c r="I20" s="84"/>
      <c r="J20" s="85"/>
      <c r="K20" s="86"/>
    </row>
    <row r="21" spans="1:11" ht="26.25">
      <c r="A21" s="99"/>
      <c r="B21" s="71"/>
      <c r="C21" s="72"/>
      <c r="D21" s="100"/>
      <c r="E21" s="110"/>
      <c r="F21" s="71"/>
      <c r="G21" s="101"/>
      <c r="H21" s="73"/>
      <c r="I21" s="146"/>
      <c r="J21" s="147"/>
      <c r="K21" s="148"/>
    </row>
    <row r="22" spans="1:11" ht="26.25">
      <c r="A22" s="99" t="s">
        <v>41</v>
      </c>
      <c r="B22" s="71" t="s">
        <v>41</v>
      </c>
      <c r="C22" s="72"/>
      <c r="D22" s="100" t="s">
        <v>41</v>
      </c>
      <c r="E22" s="110" t="s">
        <v>41</v>
      </c>
      <c r="F22" s="71" t="s">
        <v>41</v>
      </c>
      <c r="G22" s="101"/>
      <c r="H22" s="73"/>
      <c r="I22" s="71" t="s">
        <v>41</v>
      </c>
      <c r="J22" s="101"/>
      <c r="K22" s="73"/>
    </row>
    <row r="23" spans="1:11" ht="26.25">
      <c r="A23" s="126"/>
      <c r="B23" s="107"/>
      <c r="C23" s="108"/>
      <c r="D23" s="127"/>
      <c r="E23" s="128"/>
      <c r="F23" s="107"/>
      <c r="G23" s="149"/>
      <c r="H23" s="109"/>
      <c r="I23" s="71"/>
      <c r="J23" s="101"/>
      <c r="K23" s="73"/>
    </row>
    <row r="24" spans="1:11" ht="27" thickBot="1">
      <c r="A24" s="132"/>
      <c r="B24" s="104"/>
      <c r="C24" s="105"/>
      <c r="D24" s="103"/>
      <c r="E24" s="133"/>
      <c r="F24" s="104"/>
      <c r="G24" s="105"/>
      <c r="H24" s="106"/>
      <c r="I24" s="77"/>
      <c r="J24" s="78"/>
      <c r="K24" s="79"/>
    </row>
    <row r="25" spans="1:11" ht="26.25">
      <c r="A25" s="99"/>
      <c r="B25" s="66"/>
      <c r="C25" s="67"/>
      <c r="D25" s="100"/>
      <c r="E25" s="110"/>
      <c r="F25" s="66"/>
      <c r="G25" s="67"/>
      <c r="H25" s="98"/>
      <c r="I25" s="150"/>
      <c r="J25" s="151"/>
      <c r="K25" s="152"/>
    </row>
    <row r="26" spans="1:11" ht="25.5" customHeight="1">
      <c r="A26" s="99"/>
      <c r="B26" s="71"/>
      <c r="C26" s="72"/>
      <c r="D26" s="100"/>
      <c r="E26" s="110"/>
      <c r="F26" s="71"/>
      <c r="G26" s="101"/>
      <c r="H26" s="73"/>
      <c r="I26" s="139" t="s">
        <v>66</v>
      </c>
      <c r="J26" s="142"/>
      <c r="K26" s="141"/>
    </row>
    <row r="27" spans="1:11" ht="26.25">
      <c r="A27" s="99" t="s">
        <v>41</v>
      </c>
      <c r="B27" s="71" t="s">
        <v>41</v>
      </c>
      <c r="C27" s="72"/>
      <c r="D27" s="100" t="s">
        <v>41</v>
      </c>
      <c r="E27" s="110" t="s">
        <v>41</v>
      </c>
      <c r="F27" s="71" t="s">
        <v>41</v>
      </c>
      <c r="G27" s="101"/>
      <c r="H27" s="73"/>
      <c r="I27" s="139" t="s">
        <v>42</v>
      </c>
      <c r="J27" s="142"/>
      <c r="K27" s="141"/>
    </row>
    <row r="28" spans="1:11" ht="27" thickBot="1">
      <c r="A28" s="132"/>
      <c r="B28" s="104"/>
      <c r="C28" s="105"/>
      <c r="D28" s="153"/>
      <c r="E28" s="133"/>
      <c r="F28" s="104"/>
      <c r="G28" s="105"/>
      <c r="H28" s="106"/>
      <c r="I28" s="143"/>
      <c r="J28" s="144"/>
      <c r="K28" s="145"/>
    </row>
    <row r="29" spans="1:11" ht="28.5" customHeight="1">
      <c r="A29" s="154" t="s">
        <v>43</v>
      </c>
      <c r="B29" s="155"/>
      <c r="C29" s="155"/>
      <c r="D29" s="156"/>
      <c r="E29" s="155"/>
      <c r="F29" s="155"/>
      <c r="G29" s="155"/>
      <c r="H29" s="155"/>
      <c r="I29" s="155"/>
      <c r="J29" s="155"/>
      <c r="K29" s="157"/>
    </row>
    <row r="30" spans="1:11" ht="15" customHeight="1">
      <c r="A30" s="158" t="s">
        <v>44</v>
      </c>
      <c r="B30" s="156"/>
      <c r="C30" s="156"/>
      <c r="D30" s="156"/>
      <c r="E30" s="156"/>
      <c r="F30" s="156"/>
      <c r="G30" s="156"/>
      <c r="H30" s="156"/>
      <c r="I30" s="156"/>
      <c r="J30" s="156"/>
      <c r="K30" s="159"/>
    </row>
    <row r="31" spans="1:11" ht="25.5">
      <c r="A31" s="158" t="s">
        <v>45</v>
      </c>
      <c r="B31" s="156"/>
      <c r="C31" s="156"/>
      <c r="D31" s="156"/>
      <c r="E31" s="156"/>
      <c r="F31" s="156"/>
      <c r="G31" s="156"/>
      <c r="H31" s="156"/>
      <c r="I31" s="156"/>
      <c r="J31" s="156"/>
      <c r="K31" s="159"/>
    </row>
    <row r="32" spans="1:11" ht="28.5" customHeight="1" thickBot="1">
      <c r="A32" s="160" t="s">
        <v>46</v>
      </c>
      <c r="B32" s="161"/>
      <c r="C32" s="161"/>
      <c r="D32" s="161"/>
      <c r="E32" s="161"/>
      <c r="F32" s="161"/>
      <c r="G32" s="161"/>
      <c r="H32" s="161"/>
      <c r="I32" s="161"/>
      <c r="J32" s="161"/>
      <c r="K32" s="162"/>
    </row>
    <row r="33" spans="1:11" ht="24" thickBot="1">
      <c r="A33" s="61" t="s">
        <v>47</v>
      </c>
      <c r="B33" s="62"/>
      <c r="C33" s="62"/>
      <c r="D33" s="62"/>
      <c r="E33" s="62"/>
      <c r="F33" s="62"/>
      <c r="G33" s="62"/>
      <c r="H33" s="62"/>
      <c r="I33" s="62"/>
      <c r="J33" s="62"/>
      <c r="K33" s="63"/>
    </row>
    <row r="34" spans="1:11" ht="25.5">
      <c r="A34" s="163"/>
      <c r="B34" s="164"/>
      <c r="C34" s="164"/>
      <c r="D34" s="164"/>
      <c r="E34" s="164"/>
      <c r="F34" s="164"/>
      <c r="G34" s="165"/>
      <c r="H34" s="166"/>
      <c r="I34" s="167"/>
      <c r="J34" s="167"/>
      <c r="K34" s="168"/>
    </row>
    <row r="35" spans="1:11" ht="35.25" customHeight="1">
      <c r="A35" s="169"/>
      <c r="B35" s="170"/>
      <c r="C35" s="170"/>
      <c r="D35" s="170"/>
      <c r="E35" s="170"/>
      <c r="F35" s="170"/>
      <c r="G35" s="171"/>
      <c r="H35" s="172"/>
      <c r="I35" s="173"/>
      <c r="J35" s="173"/>
      <c r="K35" s="174"/>
    </row>
    <row r="36" spans="1:11" ht="15" customHeight="1">
      <c r="A36" s="175"/>
      <c r="B36" s="176"/>
      <c r="C36" s="176"/>
      <c r="D36" s="176"/>
      <c r="E36" s="176"/>
      <c r="F36" s="176"/>
      <c r="G36" s="177"/>
      <c r="H36" s="172"/>
      <c r="I36" s="173"/>
      <c r="J36" s="173"/>
      <c r="K36" s="174"/>
    </row>
    <row r="37" spans="1:11" ht="30" customHeight="1">
      <c r="A37" s="178" t="s">
        <v>48</v>
      </c>
      <c r="B37" s="179"/>
      <c r="C37" s="179"/>
      <c r="D37" s="179"/>
      <c r="E37" s="179"/>
      <c r="F37" s="176"/>
      <c r="G37" s="177"/>
      <c r="H37" s="178" t="s">
        <v>54</v>
      </c>
      <c r="I37" s="180"/>
      <c r="J37" s="181"/>
      <c r="K37" s="182"/>
    </row>
    <row r="38" spans="1:11" ht="25.5">
      <c r="A38" s="172" t="s">
        <v>53</v>
      </c>
      <c r="B38" s="173"/>
      <c r="C38" s="173"/>
      <c r="D38" s="173"/>
      <c r="E38" s="173"/>
      <c r="F38" s="173"/>
      <c r="G38" s="174"/>
      <c r="H38" s="183"/>
      <c r="I38" s="184"/>
      <c r="J38" s="184"/>
      <c r="K38" s="185"/>
    </row>
    <row r="39" spans="1:11" ht="24" customHeight="1" thickBot="1">
      <c r="A39" s="186"/>
      <c r="B39" s="187"/>
      <c r="C39" s="187"/>
      <c r="D39" s="187"/>
      <c r="E39" s="187"/>
      <c r="F39" s="187" t="s">
        <v>56</v>
      </c>
      <c r="G39" s="188"/>
      <c r="H39" s="189" t="s">
        <v>67</v>
      </c>
      <c r="I39" s="190"/>
      <c r="J39" s="190"/>
      <c r="K39" s="191"/>
    </row>
    <row r="40" spans="1:11" ht="27" thickBot="1">
      <c r="A40" s="90" t="s">
        <v>49</v>
      </c>
      <c r="B40" s="91"/>
      <c r="C40" s="91"/>
      <c r="D40" s="91"/>
      <c r="E40" s="91"/>
      <c r="F40" s="92"/>
      <c r="G40" s="192" t="s">
        <v>55</v>
      </c>
      <c r="H40" s="193"/>
      <c r="I40" s="193"/>
      <c r="J40" s="193"/>
      <c r="K40" s="194"/>
    </row>
  </sheetData>
  <mergeCells count="79">
    <mergeCell ref="I19:K19"/>
    <mergeCell ref="I18:K18"/>
    <mergeCell ref="I17:K17"/>
    <mergeCell ref="I16:K16"/>
    <mergeCell ref="H36:K36"/>
    <mergeCell ref="H34:K34"/>
    <mergeCell ref="I28:K28"/>
    <mergeCell ref="I27:K27"/>
    <mergeCell ref="I26:K26"/>
    <mergeCell ref="I25:K25"/>
    <mergeCell ref="F17:H17"/>
    <mergeCell ref="F18:H18"/>
    <mergeCell ref="F19:H19"/>
    <mergeCell ref="F16:H16"/>
    <mergeCell ref="F27:H27"/>
    <mergeCell ref="F28:H28"/>
    <mergeCell ref="G40:K40"/>
    <mergeCell ref="H39:K39"/>
    <mergeCell ref="H38:K38"/>
    <mergeCell ref="H35:K35"/>
    <mergeCell ref="A40:F40"/>
    <mergeCell ref="A34:G34"/>
    <mergeCell ref="A35:G35"/>
    <mergeCell ref="A38:G38"/>
    <mergeCell ref="A29:K29"/>
    <mergeCell ref="A30:K30"/>
    <mergeCell ref="A31:K31"/>
    <mergeCell ref="A32:K32"/>
    <mergeCell ref="A33:K33"/>
    <mergeCell ref="B25:C25"/>
    <mergeCell ref="B26:C26"/>
    <mergeCell ref="B27:C27"/>
    <mergeCell ref="B28:C28"/>
    <mergeCell ref="I20:K20"/>
    <mergeCell ref="I21:K21"/>
    <mergeCell ref="I22:K22"/>
    <mergeCell ref="I23:K23"/>
    <mergeCell ref="I24:K24"/>
    <mergeCell ref="B20:C20"/>
    <mergeCell ref="B21:C21"/>
    <mergeCell ref="B22:C22"/>
    <mergeCell ref="B23:C23"/>
    <mergeCell ref="B24:C24"/>
    <mergeCell ref="F22:H22"/>
    <mergeCell ref="F26:H26"/>
    <mergeCell ref="B17:C17"/>
    <mergeCell ref="B18:C18"/>
    <mergeCell ref="B19:C19"/>
    <mergeCell ref="B11:C11"/>
    <mergeCell ref="B12:C12"/>
    <mergeCell ref="B14:C14"/>
    <mergeCell ref="B15:C15"/>
    <mergeCell ref="H5:I5"/>
    <mergeCell ref="H6:I6"/>
    <mergeCell ref="J5:K5"/>
    <mergeCell ref="J6:K6"/>
    <mergeCell ref="B16:C16"/>
    <mergeCell ref="I13:K13"/>
    <mergeCell ref="A1:B3"/>
    <mergeCell ref="C1:J3"/>
    <mergeCell ref="F8:H8"/>
    <mergeCell ref="F9:H9"/>
    <mergeCell ref="F10:H10"/>
    <mergeCell ref="A7:K7"/>
    <mergeCell ref="B8:C10"/>
    <mergeCell ref="I8:K8"/>
    <mergeCell ref="I9:K9"/>
    <mergeCell ref="I10:K10"/>
    <mergeCell ref="E8:E10"/>
    <mergeCell ref="A4:G4"/>
    <mergeCell ref="H4:K4"/>
    <mergeCell ref="A5:C5"/>
    <mergeCell ref="D5:G5"/>
    <mergeCell ref="D6:G6"/>
    <mergeCell ref="F23:H23"/>
    <mergeCell ref="F24:H24"/>
    <mergeCell ref="F25:H25"/>
    <mergeCell ref="F20:H20"/>
    <mergeCell ref="F21:H21"/>
  </mergeCells>
  <pageMargins left="0.7" right="0.7" top="0.75" bottom="0.75" header="0.3" footer="0.3"/>
  <pageSetup paperSize="9" scale="4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BASE_ESTORNOS</vt:lpstr>
      <vt:lpstr>ROMANEIO_OPERACIONAL</vt:lpstr>
      <vt:lpstr>CI_ESTORNO</vt:lpstr>
      <vt:lpstr>ROMANEIO_OPERACIONAL!Area_de_impressao</vt:lpstr>
      <vt:lpstr>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3066673</dc:creator>
  <cp:lastModifiedBy>Renato Pereira de Andrade</cp:lastModifiedBy>
  <cp:lastPrinted>2021-11-25T14:23:52Z</cp:lastPrinted>
  <dcterms:created xsi:type="dcterms:W3CDTF">2021-09-25T22:05:36Z</dcterms:created>
  <dcterms:modified xsi:type="dcterms:W3CDTF">2021-11-25T14:24:59Z</dcterms:modified>
</cp:coreProperties>
</file>